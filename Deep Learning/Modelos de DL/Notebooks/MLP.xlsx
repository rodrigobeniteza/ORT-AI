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rasco\Downloads\"/>
    </mc:Choice>
  </mc:AlternateContent>
  <xr:revisionPtr revIDLastSave="0" documentId="8_{D15C256A-BC31-4387-BCEA-8ACCE293F3DC}" xr6:coauthVersionLast="47" xr6:coauthVersionMax="47" xr10:uidLastSave="{00000000-0000-0000-0000-000000000000}"/>
  <bookViews>
    <workbookView xWindow="-120" yWindow="-120" windowWidth="21840" windowHeight="13140" xr2:uid="{A2F18437-323D-4BF3-893B-852504B3BFD8}"/>
  </bookViews>
  <sheets>
    <sheet name="MLP" sheetId="2" r:id="rId1"/>
  </sheets>
  <definedNames>
    <definedName name="DatosExternos_1" localSheetId="0" hidden="1">MLP!$A$1:$B$10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2" l="1"/>
  <c r="I33" i="2" s="1"/>
  <c r="J33" i="2" s="1"/>
  <c r="T12" i="2" s="1"/>
  <c r="H31" i="2"/>
  <c r="I31" i="2" s="1"/>
  <c r="J31" i="2" s="1"/>
  <c r="T11" i="2" s="1"/>
  <c r="H29" i="2"/>
  <c r="I29" i="2" s="1"/>
  <c r="J29" i="2" s="1"/>
  <c r="T10" i="2" s="1"/>
  <c r="H27" i="2"/>
  <c r="I27" i="2" s="1"/>
  <c r="J27" i="2" s="1"/>
  <c r="T9" i="2" s="1"/>
  <c r="H25" i="2"/>
  <c r="I25" i="2" s="1"/>
  <c r="J25" i="2" s="1"/>
  <c r="T8" i="2" s="1"/>
  <c r="H23" i="2"/>
  <c r="I23" i="2" s="1"/>
  <c r="J23" i="2" s="1"/>
  <c r="T7" i="2" s="1"/>
  <c r="H21" i="2"/>
  <c r="I21" i="2" s="1"/>
  <c r="J21" i="2" s="1"/>
  <c r="T6" i="2" s="1"/>
  <c r="H19" i="2"/>
  <c r="I19" i="2" s="1"/>
  <c r="J19" i="2" s="1"/>
  <c r="T5" i="2" s="1"/>
  <c r="H17" i="2"/>
  <c r="I17" i="2" s="1"/>
  <c r="J17" i="2" s="1"/>
  <c r="T4" i="2" s="1"/>
  <c r="H15" i="2"/>
  <c r="I15" i="2" s="1"/>
  <c r="J15" i="2" s="1"/>
  <c r="T3" i="2" s="1"/>
  <c r="H13" i="2"/>
  <c r="I13" i="2" s="1"/>
  <c r="J13" i="2" s="1"/>
  <c r="T2" i="2" s="1"/>
  <c r="Q12" i="2"/>
  <c r="S12" i="2" s="1"/>
  <c r="Q11" i="2"/>
  <c r="S11" i="2" s="1"/>
  <c r="Q10" i="2"/>
  <c r="S10" i="2" s="1"/>
  <c r="Q9" i="2"/>
  <c r="S9" i="2" s="1"/>
  <c r="Q8" i="2"/>
  <c r="S8" i="2" s="1"/>
  <c r="Q7" i="2"/>
  <c r="S7" i="2" s="1"/>
  <c r="Q6" i="2"/>
  <c r="S6" i="2" s="1"/>
  <c r="Q5" i="2"/>
  <c r="S5" i="2" s="1"/>
  <c r="Q4" i="2"/>
  <c r="S4" i="2" s="1"/>
  <c r="Q3" i="2"/>
  <c r="S3" i="2" s="1"/>
  <c r="Q2" i="2"/>
  <c r="S2" i="2" s="1"/>
  <c r="C2" i="2"/>
  <c r="D2" i="2" s="1"/>
  <c r="H28" i="2"/>
  <c r="I28" i="2" s="1"/>
  <c r="J28" i="2" s="1"/>
  <c r="H18" i="2"/>
  <c r="I18" i="2" s="1"/>
  <c r="J18" i="2" s="1"/>
  <c r="H30" i="2"/>
  <c r="I30" i="2" s="1"/>
  <c r="J30" i="2" s="1"/>
  <c r="H20" i="2"/>
  <c r="I20" i="2" s="1"/>
  <c r="J20" i="2" s="1"/>
  <c r="R6" i="2" s="1"/>
  <c r="H32" i="2"/>
  <c r="I32" i="2" s="1"/>
  <c r="J32" i="2" s="1"/>
  <c r="H22" i="2"/>
  <c r="I22" i="2" s="1"/>
  <c r="J22" i="2" s="1"/>
  <c r="H12" i="2"/>
  <c r="I12" i="2" s="1"/>
  <c r="J12" i="2" s="1"/>
  <c r="H24" i="2"/>
  <c r="I24" i="2" s="1"/>
  <c r="J24" i="2" s="1"/>
  <c r="R8" i="2" s="1"/>
  <c r="H14" i="2"/>
  <c r="I14" i="2" s="1"/>
  <c r="J14" i="2" s="1"/>
  <c r="H26" i="2"/>
  <c r="I26" i="2" s="1"/>
  <c r="J26" i="2" s="1"/>
  <c r="H16" i="2"/>
  <c r="I16" i="2" s="1"/>
  <c r="J16" i="2" s="1"/>
  <c r="C8" i="2"/>
  <c r="D8" i="2" s="1"/>
  <c r="C4" i="2"/>
  <c r="D4" i="2" s="1"/>
  <c r="C3" i="2"/>
  <c r="D3" i="2" s="1"/>
  <c r="C10" i="2"/>
  <c r="D10" i="2" s="1"/>
  <c r="C6" i="2"/>
  <c r="D6" i="2" s="1"/>
  <c r="C7" i="2"/>
  <c r="D7" i="2" s="1"/>
  <c r="C9" i="2"/>
  <c r="D9" i="2" s="1"/>
  <c r="C5" i="2"/>
  <c r="D5" i="2" s="1"/>
  <c r="K22" i="2" l="1"/>
  <c r="L22" i="2" s="1"/>
  <c r="V7" i="2" s="1"/>
  <c r="R7" i="2"/>
  <c r="R10" i="2"/>
  <c r="K28" i="2"/>
  <c r="L28" i="2" s="1"/>
  <c r="V10" i="2" s="1"/>
  <c r="K26" i="2"/>
  <c r="L26" i="2" s="1"/>
  <c r="V9" i="2" s="1"/>
  <c r="R9" i="2"/>
  <c r="K32" i="2"/>
  <c r="L32" i="2" s="1"/>
  <c r="V12" i="2" s="1"/>
  <c r="R12" i="2"/>
  <c r="R11" i="2"/>
  <c r="K30" i="2"/>
  <c r="L30" i="2" s="1"/>
  <c r="V11" i="2" s="1"/>
  <c r="R3" i="2"/>
  <c r="K14" i="2"/>
  <c r="L14" i="2" s="1"/>
  <c r="V3" i="2" s="1"/>
  <c r="K12" i="2"/>
  <c r="L12" i="2" s="1"/>
  <c r="V2" i="2" s="1"/>
  <c r="R2" i="2"/>
  <c r="D12" i="2"/>
  <c r="R4" i="2"/>
  <c r="K16" i="2"/>
  <c r="L16" i="2" s="1"/>
  <c r="V4" i="2" s="1"/>
  <c r="K18" i="2"/>
  <c r="L18" i="2" s="1"/>
  <c r="V5" i="2" s="1"/>
  <c r="R5" i="2"/>
  <c r="K24" i="2"/>
  <c r="L24" i="2" s="1"/>
  <c r="V8" i="2" s="1"/>
  <c r="K20" i="2"/>
  <c r="L20" i="2" s="1"/>
  <c r="V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7E6F863-2768-4C9D-B752-3E7F04CD5A07}" keepAlive="1" name="Consulta - MLP" description="Conexión a la consulta 'MLP' en el libro." type="5" refreshedVersion="8" background="1" saveData="1">
    <dbPr connection="Provider=Microsoft.Mashup.OleDb.1;Data Source=$Workbook$;Location=MLP;Extended Properties=&quot;&quot;" command="SELECT * FROM [MLP]"/>
  </connection>
</connections>
</file>

<file path=xl/sharedStrings.xml><?xml version="1.0" encoding="utf-8"?>
<sst xmlns="http://schemas.openxmlformats.org/spreadsheetml/2006/main" count="28" uniqueCount="24">
  <si>
    <t>x</t>
  </si>
  <si>
    <t>y</t>
  </si>
  <si>
    <t>f(x)</t>
  </si>
  <si>
    <r>
      <t>z</t>
    </r>
    <r>
      <rPr>
        <vertAlign val="subscript"/>
        <sz val="11"/>
        <color theme="1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 xml:space="preserve"> = w</t>
    </r>
    <r>
      <rPr>
        <vertAlign val="subscript"/>
        <sz val="11"/>
        <color theme="1"/>
        <rFont val="Aptos Narrow"/>
        <family val="2"/>
        <scheme val="minor"/>
      </rPr>
      <t>11</t>
    </r>
    <r>
      <rPr>
        <vertAlign val="superscript"/>
        <sz val="11"/>
        <color theme="1"/>
        <rFont val="Aptos Narrow"/>
        <family val="2"/>
        <scheme val="minor"/>
      </rPr>
      <t>(1)</t>
    </r>
    <r>
      <rPr>
        <sz val="11"/>
        <color theme="1"/>
        <rFont val="Aptos Narrow"/>
        <family val="2"/>
        <scheme val="minor"/>
      </rPr>
      <t>x + b</t>
    </r>
    <r>
      <rPr>
        <vertAlign val="subscript"/>
        <sz val="11"/>
        <color theme="1"/>
        <rFont val="Aptos Narrow"/>
        <family val="2"/>
        <scheme val="minor"/>
      </rPr>
      <t>1</t>
    </r>
    <r>
      <rPr>
        <vertAlign val="superscript"/>
        <sz val="11"/>
        <color theme="1"/>
        <rFont val="Aptos Narrow"/>
        <family val="2"/>
        <scheme val="minor"/>
      </rPr>
      <t>(1)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</si>
  <si>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 xml:space="preserve"> = SoftPlus(z</t>
    </r>
    <r>
      <rPr>
        <vertAlign val="subscript"/>
        <sz val="11"/>
        <color theme="1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>)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</si>
  <si>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= SoftPlus(z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)</t>
    </r>
  </si>
  <si>
    <r>
      <t>f(x) = w</t>
    </r>
    <r>
      <rPr>
        <vertAlign val="subscript"/>
        <sz val="11"/>
        <color theme="1"/>
        <rFont val="Aptos Narrow"/>
        <family val="2"/>
        <scheme val="minor"/>
      </rPr>
      <t>11</t>
    </r>
    <r>
      <rPr>
        <vertAlign val="superscript"/>
        <sz val="11"/>
        <color theme="1"/>
        <rFont val="Aptos Narrow"/>
        <family val="2"/>
        <scheme val="minor"/>
      </rPr>
      <t>(2)</t>
    </r>
    <r>
      <rPr>
        <sz val="11"/>
        <color theme="1"/>
        <rFont val="Aptos Narrow"/>
        <family val="2"/>
        <scheme val="minor"/>
      </rPr>
      <t>a</t>
    </r>
    <r>
      <rPr>
        <vertAlign val="subscript"/>
        <sz val="11"/>
        <color theme="1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 xml:space="preserve"> + w</t>
    </r>
    <r>
      <rPr>
        <vertAlign val="subscript"/>
        <sz val="11"/>
        <color theme="1"/>
        <rFont val="Aptos Narrow"/>
        <family val="2"/>
        <scheme val="minor"/>
      </rPr>
      <t>21</t>
    </r>
    <r>
      <rPr>
        <vertAlign val="superscript"/>
        <sz val="11"/>
        <color theme="1"/>
        <rFont val="Aptos Narrow"/>
        <family val="2"/>
        <scheme val="minor"/>
      </rPr>
      <t>(2)</t>
    </r>
    <r>
      <rPr>
        <sz val="11"/>
        <color theme="1"/>
        <rFont val="Aptos Narrow"/>
        <family val="2"/>
        <scheme val="minor"/>
      </rPr>
      <t>a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+ b</t>
    </r>
    <r>
      <rPr>
        <vertAlign val="subscript"/>
        <sz val="11"/>
        <color theme="1"/>
        <rFont val="Aptos Narrow"/>
        <family val="2"/>
        <scheme val="minor"/>
      </rPr>
      <t>1</t>
    </r>
    <r>
      <rPr>
        <vertAlign val="superscript"/>
        <sz val="11"/>
        <color theme="1"/>
        <rFont val="Aptos Narrow"/>
        <family val="2"/>
        <scheme val="minor"/>
      </rPr>
      <t>(2)</t>
    </r>
  </si>
  <si>
    <r>
      <t>w</t>
    </r>
    <r>
      <rPr>
        <vertAlign val="subscript"/>
        <sz val="11"/>
        <color theme="1"/>
        <rFont val="Aptos Narrow"/>
        <family val="2"/>
        <scheme val="minor"/>
      </rPr>
      <t>11</t>
    </r>
    <r>
      <rPr>
        <vertAlign val="superscript"/>
        <sz val="11"/>
        <color theme="1"/>
        <rFont val="Aptos Narrow"/>
        <family val="2"/>
        <scheme val="minor"/>
      </rPr>
      <t>(1)</t>
    </r>
  </si>
  <si>
    <r>
      <t>w</t>
    </r>
    <r>
      <rPr>
        <vertAlign val="subscript"/>
        <sz val="11"/>
        <color theme="1"/>
        <rFont val="Aptos Narrow"/>
        <family val="2"/>
        <scheme val="minor"/>
      </rPr>
      <t>12</t>
    </r>
    <r>
      <rPr>
        <vertAlign val="superscript"/>
        <sz val="11"/>
        <color theme="1"/>
        <rFont val="Aptos Narrow"/>
        <family val="2"/>
        <scheme val="minor"/>
      </rPr>
      <t>(1)</t>
    </r>
  </si>
  <si>
    <r>
      <t>z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= w</t>
    </r>
    <r>
      <rPr>
        <vertAlign val="subscript"/>
        <sz val="11"/>
        <color theme="1"/>
        <rFont val="Aptos Narrow"/>
        <family val="2"/>
        <scheme val="minor"/>
      </rPr>
      <t>12</t>
    </r>
    <r>
      <rPr>
        <vertAlign val="superscript"/>
        <sz val="11"/>
        <color theme="1"/>
        <rFont val="Aptos Narrow"/>
        <family val="2"/>
        <scheme val="minor"/>
      </rPr>
      <t>(1)</t>
    </r>
    <r>
      <rPr>
        <sz val="11"/>
        <color theme="1"/>
        <rFont val="Aptos Narrow"/>
        <family val="2"/>
        <scheme val="minor"/>
      </rPr>
      <t>x + b</t>
    </r>
    <r>
      <rPr>
        <vertAlign val="subscript"/>
        <sz val="11"/>
        <color theme="1"/>
        <rFont val="Aptos Narrow"/>
        <family val="2"/>
        <scheme val="minor"/>
      </rPr>
      <t>2</t>
    </r>
    <r>
      <rPr>
        <vertAlign val="superscript"/>
        <sz val="11"/>
        <color theme="1"/>
        <rFont val="Aptos Narrow"/>
        <family val="2"/>
        <scheme val="minor"/>
      </rPr>
      <t>(1)</t>
    </r>
  </si>
  <si>
    <r>
      <t>W</t>
    </r>
    <r>
      <rPr>
        <b/>
        <vertAlign val="superscript"/>
        <sz val="11"/>
        <color theme="1"/>
        <rFont val="Aptos Narrow"/>
        <family val="2"/>
        <scheme val="minor"/>
      </rPr>
      <t>(1)</t>
    </r>
  </si>
  <si>
    <r>
      <t>b</t>
    </r>
    <r>
      <rPr>
        <b/>
        <vertAlign val="superscript"/>
        <sz val="11"/>
        <color theme="1"/>
        <rFont val="Aptos Narrow"/>
        <family val="2"/>
        <scheme val="minor"/>
      </rPr>
      <t>(1)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</si>
  <si>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1</t>
    </r>
    <r>
      <rPr>
        <vertAlign val="superscript"/>
        <sz val="11"/>
        <color theme="1"/>
        <rFont val="Aptos Narrow"/>
        <family val="2"/>
        <scheme val="minor"/>
      </rPr>
      <t>(1)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</si>
  <si>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2</t>
    </r>
    <r>
      <rPr>
        <vertAlign val="superscript"/>
        <sz val="11"/>
        <color theme="1"/>
        <rFont val="Aptos Narrow"/>
        <family val="2"/>
        <scheme val="minor"/>
      </rPr>
      <t>(1)</t>
    </r>
  </si>
  <si>
    <r>
      <t>W</t>
    </r>
    <r>
      <rPr>
        <b/>
        <vertAlign val="superscript"/>
        <sz val="11"/>
        <color theme="1"/>
        <rFont val="Aptos Narrow"/>
        <family val="2"/>
        <scheme val="minor"/>
      </rPr>
      <t>(2)</t>
    </r>
  </si>
  <si>
    <r>
      <t>w</t>
    </r>
    <r>
      <rPr>
        <vertAlign val="subscript"/>
        <sz val="11"/>
        <color theme="1"/>
        <rFont val="Aptos Narrow"/>
        <family val="2"/>
        <scheme val="minor"/>
      </rPr>
      <t>11</t>
    </r>
    <r>
      <rPr>
        <vertAlign val="superscript"/>
        <sz val="11"/>
        <color theme="1"/>
        <rFont val="Aptos Narrow"/>
        <family val="2"/>
        <scheme val="minor"/>
      </rPr>
      <t>(2)</t>
    </r>
  </si>
  <si>
    <r>
      <t>w</t>
    </r>
    <r>
      <rPr>
        <vertAlign val="subscript"/>
        <sz val="11"/>
        <color theme="1"/>
        <rFont val="Aptos Narrow"/>
        <family val="2"/>
        <scheme val="minor"/>
      </rPr>
      <t>21</t>
    </r>
    <r>
      <rPr>
        <vertAlign val="superscript"/>
        <sz val="11"/>
        <color theme="1"/>
        <rFont val="Aptos Narrow"/>
        <family val="2"/>
        <scheme val="minor"/>
      </rPr>
      <t>(2)</t>
    </r>
  </si>
  <si>
    <r>
      <t>b</t>
    </r>
    <r>
      <rPr>
        <b/>
        <vertAlign val="superscript"/>
        <sz val="11"/>
        <color theme="1"/>
        <rFont val="Aptos Narrow"/>
        <family val="2"/>
        <scheme val="minor"/>
      </rPr>
      <t>(2)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</si>
  <si>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1</t>
    </r>
    <r>
      <rPr>
        <vertAlign val="superscript"/>
        <sz val="11"/>
        <color theme="1"/>
        <rFont val="Aptos Narrow"/>
        <family val="2"/>
        <scheme val="minor"/>
      </rPr>
      <t>(2)</t>
    </r>
  </si>
  <si>
    <t>y_hat</t>
  </si>
  <si>
    <t>diff^2</t>
  </si>
  <si>
    <t>MSE</t>
  </si>
  <si>
    <r>
      <t>a</t>
    </r>
    <r>
      <rPr>
        <vertAlign val="superscript"/>
        <sz val="11"/>
        <color theme="1"/>
        <rFont val="Aptos Narrow"/>
        <family val="2"/>
        <scheme val="minor"/>
      </rPr>
      <t>(1)</t>
    </r>
  </si>
  <si>
    <r>
      <t>a</t>
    </r>
    <r>
      <rPr>
        <vertAlign val="superscript"/>
        <sz val="11"/>
        <color theme="1"/>
        <rFont val="Aptos Narrow"/>
        <family val="2"/>
        <scheme val="minor"/>
      </rPr>
      <t>(2)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</si>
</sst>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0"/>
    <numFmt numFmtId="166" formatCode="0.00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vertAlign val="superscript"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2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164" fontId="0" fillId="2" borderId="8" xfId="0" applyNumberFormat="1" applyFill="1" applyBorder="1" applyAlignment="1">
      <alignment horizontal="right"/>
    </xf>
    <xf numFmtId="164" fontId="0" fillId="2" borderId="9" xfId="0" applyNumberFormat="1" applyFill="1" applyBorder="1" applyAlignment="1">
      <alignment horizontal="right"/>
    </xf>
    <xf numFmtId="164" fontId="0" fillId="3" borderId="12" xfId="0" applyNumberFormat="1" applyFill="1" applyBorder="1" applyAlignment="1">
      <alignment horizontal="right"/>
    </xf>
    <xf numFmtId="164" fontId="0" fillId="3" borderId="13" xfId="0" applyNumberFormat="1" applyFill="1" applyBorder="1" applyAlignment="1">
      <alignment horizontal="right"/>
    </xf>
    <xf numFmtId="164" fontId="0" fillId="2" borderId="10" xfId="0" applyNumberFormat="1" applyFill="1" applyBorder="1" applyAlignment="1">
      <alignment horizontal="right"/>
    </xf>
    <xf numFmtId="164" fontId="0" fillId="2" borderId="11" xfId="0" applyNumberFormat="1" applyFill="1" applyBorder="1" applyAlignment="1">
      <alignment horizontal="right"/>
    </xf>
    <xf numFmtId="165" fontId="0" fillId="2" borderId="7" xfId="0" applyNumberFormat="1" applyFill="1" applyBorder="1"/>
    <xf numFmtId="165" fontId="0" fillId="3" borderId="7" xfId="0" applyNumberFormat="1" applyFill="1" applyBorder="1"/>
    <xf numFmtId="0" fontId="2" fillId="5" borderId="0" xfId="0" applyFont="1" applyFill="1"/>
    <xf numFmtId="166" fontId="0" fillId="0" borderId="0" xfId="0" applyNumberFormat="1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/>
    <xf numFmtId="166" fontId="0" fillId="3" borderId="0" xfId="0" applyNumberFormat="1" applyFill="1"/>
    <xf numFmtId="164" fontId="0" fillId="4" borderId="0" xfId="0" applyNumberFormat="1" applyFill="1"/>
    <xf numFmtId="0" fontId="0" fillId="0" borderId="7" xfId="0" applyBorder="1" applyAlignment="1">
      <alignment horizontal="center" vertical="center"/>
    </xf>
    <xf numFmtId="164" fontId="0" fillId="4" borderId="7" xfId="0" applyNumberFormat="1" applyFill="1" applyBorder="1" applyAlignment="1">
      <alignment horizontal="center" vertical="center"/>
    </xf>
    <xf numFmtId="165" fontId="2" fillId="5" borderId="0" xfId="0" applyNumberFormat="1" applyFont="1" applyFill="1"/>
  </cellXfs>
  <cellStyles count="1">
    <cellStyle name="Normal" xfId="0" builtinId="0"/>
  </cellStyles>
  <dxfs count="3">
    <dxf>
      <numFmt numFmtId="166" formatCode="0.0000"/>
    </dxf>
    <dxf>
      <numFmt numFmtId="166" formatCode="0.000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MLP!$B$1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accent2">
                  <a:lumMod val="20000"/>
                  <a:lumOff val="8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MLP!$A$2:$A$10</c:f>
              <c:numCache>
                <c:formatCode>General</c:formatCode>
                <c:ptCount val="9"/>
                <c:pt idx="0">
                  <c:v>0</c:v>
                </c:pt>
                <c:pt idx="1">
                  <c:v>0.128</c:v>
                </c:pt>
                <c:pt idx="2">
                  <c:v>0.24099999999999999</c:v>
                </c:pt>
                <c:pt idx="3">
                  <c:v>0.34200000000000003</c:v>
                </c:pt>
                <c:pt idx="4">
                  <c:v>0.501</c:v>
                </c:pt>
                <c:pt idx="5">
                  <c:v>0.627</c:v>
                </c:pt>
                <c:pt idx="6">
                  <c:v>0.82699999999999996</c:v>
                </c:pt>
                <c:pt idx="7">
                  <c:v>0.92500000000000004</c:v>
                </c:pt>
                <c:pt idx="8">
                  <c:v>1</c:v>
                </c:pt>
              </c:numCache>
            </c:numRef>
          </c:xVal>
          <c:yVal>
            <c:numRef>
              <c:f>MLP!$B$2:$B$10</c:f>
              <c:numCache>
                <c:formatCode>General</c:formatCode>
                <c:ptCount val="9"/>
                <c:pt idx="0">
                  <c:v>0</c:v>
                </c:pt>
                <c:pt idx="1">
                  <c:v>0.19500000000000001</c:v>
                </c:pt>
                <c:pt idx="2">
                  <c:v>0.48499999999999999</c:v>
                </c:pt>
                <c:pt idx="3">
                  <c:v>0.84399999999999997</c:v>
                </c:pt>
                <c:pt idx="4">
                  <c:v>1</c:v>
                </c:pt>
                <c:pt idx="5">
                  <c:v>0.91900000000000004</c:v>
                </c:pt>
                <c:pt idx="6">
                  <c:v>0.34300000000000003</c:v>
                </c:pt>
                <c:pt idx="7">
                  <c:v>0.187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A-49FF-BDDD-DD01D5182BE0}"/>
            </c:ext>
          </c:extLst>
        </c:ser>
        <c:ser>
          <c:idx val="1"/>
          <c:order val="1"/>
          <c:tx>
            <c:strRef>
              <c:f>MLP!$R$1</c:f>
              <c:strCache>
                <c:ptCount val="1"/>
                <c:pt idx="0">
                  <c:v>a(1)</c:v>
                </c:pt>
              </c:strCache>
            </c:strRef>
          </c:tx>
          <c:spPr>
            <a:ln w="25400" cap="rnd">
              <a:solidFill>
                <a:schemeClr val="tx2">
                  <a:lumMod val="25000"/>
                  <a:lumOff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tx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MLP!$Q$2:$Q$12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MLP!$R$2:$R$12</c:f>
              <c:numCache>
                <c:formatCode>0.0000</c:formatCode>
                <c:ptCount val="11"/>
                <c:pt idx="0">
                  <c:v>0.69314718055994529</c:v>
                </c:pt>
                <c:pt idx="1">
                  <c:v>0.69314718055994529</c:v>
                </c:pt>
                <c:pt idx="2">
                  <c:v>0.69314718055994529</c:v>
                </c:pt>
                <c:pt idx="3">
                  <c:v>0.69314718055994529</c:v>
                </c:pt>
                <c:pt idx="4">
                  <c:v>0.69314718055994529</c:v>
                </c:pt>
                <c:pt idx="5">
                  <c:v>0.69314718055994529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0.69314718055994529</c:v>
                </c:pt>
                <c:pt idx="9">
                  <c:v>0.69314718055994529</c:v>
                </c:pt>
                <c:pt idx="10">
                  <c:v>0.69314718055994529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A-49FF-BDDD-DD01D5182BE0}"/>
            </c:ext>
          </c:extLst>
        </c:ser>
        <c:ser>
          <c:idx val="2"/>
          <c:order val="2"/>
          <c:tx>
            <c:strRef>
              <c:f>MLP!$T$1</c:f>
              <c:strCache>
                <c:ptCount val="1"/>
                <c:pt idx="0">
                  <c:v>a(2)</c:v>
                </c:pt>
              </c:strCache>
            </c:strRef>
          </c:tx>
          <c:spPr>
            <a:ln w="25400" cap="rnd">
              <a:solidFill>
                <a:schemeClr val="accent5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40000"/>
                  <a:lumOff val="60000"/>
                </a:schemeClr>
              </a:solidFill>
              <a:ln w="9525">
                <a:solidFill>
                  <a:schemeClr val="accent5">
                    <a:lumMod val="20000"/>
                    <a:lumOff val="80000"/>
                  </a:schemeClr>
                </a:solidFill>
              </a:ln>
              <a:effectLst/>
            </c:spPr>
          </c:marker>
          <c:xVal>
            <c:numRef>
              <c:f>MLP!$S$2:$S$12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MLP!$T$2:$T$12</c:f>
              <c:numCache>
                <c:formatCode>0.0000</c:formatCode>
                <c:ptCount val="11"/>
                <c:pt idx="0">
                  <c:v>0.69314718055994529</c:v>
                </c:pt>
                <c:pt idx="1">
                  <c:v>0.69314718055994529</c:v>
                </c:pt>
                <c:pt idx="2">
                  <c:v>0.69314718055994529</c:v>
                </c:pt>
                <c:pt idx="3">
                  <c:v>0.69314718055994529</c:v>
                </c:pt>
                <c:pt idx="4">
                  <c:v>0.69314718055994529</c:v>
                </c:pt>
                <c:pt idx="5">
                  <c:v>0.69314718055994529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0.69314718055994529</c:v>
                </c:pt>
                <c:pt idx="9">
                  <c:v>0.69314718055994529</c:v>
                </c:pt>
                <c:pt idx="10">
                  <c:v>0.69314718055994529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DEA-49FF-BDDD-DD01D5182BE0}"/>
            </c:ext>
          </c:extLst>
        </c:ser>
        <c:ser>
          <c:idx val="3"/>
          <c:order val="3"/>
          <c:tx>
            <c:strRef>
              <c:f>MLP!$V$1</c:f>
              <c:strCache>
                <c:ptCount val="1"/>
                <c:pt idx="0">
                  <c:v>f(x)</c:v>
                </c:pt>
              </c:strCache>
            </c:strRef>
          </c:tx>
          <c:spPr>
            <a:ln w="2540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MLP!$U$2:$U$12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MLP!$V$2:$V$12</c:f>
              <c:numCache>
                <c:formatCode>0.000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EA-49FF-BDDD-DD01D5182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5428688"/>
        <c:axId val="2054000720"/>
      </c:scatterChart>
      <c:valAx>
        <c:axId val="2095428688"/>
        <c:scaling>
          <c:orientation val="minMax"/>
          <c:max val="1.0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2054000720"/>
        <c:crosses val="autoZero"/>
        <c:crossBetween val="midCat"/>
      </c:valAx>
      <c:valAx>
        <c:axId val="205400072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209542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136525</xdr:colOff>
      <xdr:row>13</xdr:row>
      <xdr:rowOff>3175</xdr:rowOff>
    </xdr:from>
    <xdr:to>
      <xdr:col>5</xdr:col>
      <xdr:colOff>504825</xdr:colOff>
      <xdr:row>27</xdr:row>
      <xdr:rowOff>168275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FC5987B-A353-B222-3194-156871D868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123825</xdr:colOff>
      <xdr:row>5</xdr:row>
      <xdr:rowOff>142875</xdr:rowOff>
    </xdr:from>
    <xdr:to>
      <xdr:col>6</xdr:col>
      <xdr:colOff>438150</xdr:colOff>
      <xdr:row>6</xdr:row>
      <xdr:rowOff>114300</xdr:rowOff>
    </xdr:to>
    <xdr:cxnSp macro="">
      <xdr:nvCxnSpPr>
        <xdr:cNvPr id="4" name="Conector recto de flecha 3">
          <a:extLst>
            <a:ext uri="{FF2B5EF4-FFF2-40B4-BE49-F238E27FC236}">
              <a16:creationId xmlns:a16="http://schemas.microsoft.com/office/drawing/2014/main" id="{73F10BEF-3E6B-DBD1-FCAB-E4335E6CBD29}"/>
            </a:ext>
          </a:extLst>
        </xdr:cNvPr>
        <xdr:cNvCxnSpPr/>
      </xdr:nvCxnSpPr>
      <xdr:spPr>
        <a:xfrm flipV="1">
          <a:off x="1600200" y="1104900"/>
          <a:ext cx="314325" cy="209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114300</xdr:colOff>
      <xdr:row>6</xdr:row>
      <xdr:rowOff>104775</xdr:rowOff>
    </xdr:from>
    <xdr:to>
      <xdr:col>6</xdr:col>
      <xdr:colOff>428625</xdr:colOff>
      <xdr:row>7</xdr:row>
      <xdr:rowOff>104775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C7C4D581-5FFF-4B4F-9B66-CD2FEF498CA8}"/>
            </a:ext>
          </a:extLst>
        </xdr:cNvPr>
        <xdr:cNvCxnSpPr/>
      </xdr:nvCxnSpPr>
      <xdr:spPr>
        <a:xfrm>
          <a:off x="1590675" y="1304925"/>
          <a:ext cx="314325" cy="2381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5</xdr:row>
      <xdr:rowOff>104775</xdr:rowOff>
    </xdr:from>
    <xdr:to>
      <xdr:col>8</xdr:col>
      <xdr:colOff>714375</xdr:colOff>
      <xdr:row>5</xdr:row>
      <xdr:rowOff>104775</xdr:rowOff>
    </xdr:to>
    <xdr:cxnSp macro="">
      <xdr:nvCxnSpPr>
        <xdr:cNvPr id="12" name="Conector recto de flecha 11">
          <a:extLst>
            <a:ext uri="{FF2B5EF4-FFF2-40B4-BE49-F238E27FC236}">
              <a16:creationId xmlns:a16="http://schemas.microsoft.com/office/drawing/2014/main" id="{7244C4B2-D795-C943-EB1E-091BE68B1FAA}"/>
            </a:ext>
          </a:extLst>
        </xdr:cNvPr>
        <xdr:cNvCxnSpPr/>
      </xdr:nvCxnSpPr>
      <xdr:spPr>
        <a:xfrm>
          <a:off x="3048000" y="1066800"/>
          <a:ext cx="63817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7</xdr:row>
      <xdr:rowOff>133350</xdr:rowOff>
    </xdr:from>
    <xdr:to>
      <xdr:col>8</xdr:col>
      <xdr:colOff>714375</xdr:colOff>
      <xdr:row>7</xdr:row>
      <xdr:rowOff>133350</xdr:rowOff>
    </xdr:to>
    <xdr:cxnSp macro="">
      <xdr:nvCxnSpPr>
        <xdr:cNvPr id="15" name="Conector recto de flecha 14">
          <a:extLst>
            <a:ext uri="{FF2B5EF4-FFF2-40B4-BE49-F238E27FC236}">
              <a16:creationId xmlns:a16="http://schemas.microsoft.com/office/drawing/2014/main" id="{2675EE89-39F4-4B1A-9482-62D3F719C105}"/>
            </a:ext>
          </a:extLst>
        </xdr:cNvPr>
        <xdr:cNvCxnSpPr/>
      </xdr:nvCxnSpPr>
      <xdr:spPr>
        <a:xfrm>
          <a:off x="3048000" y="1571625"/>
          <a:ext cx="63817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76200</xdr:colOff>
      <xdr:row>5</xdr:row>
      <xdr:rowOff>104775</xdr:rowOff>
    </xdr:from>
    <xdr:to>
      <xdr:col>10</xdr:col>
      <xdr:colOff>704850</xdr:colOff>
      <xdr:row>6</xdr:row>
      <xdr:rowOff>114300</xdr:rowOff>
    </xdr:to>
    <xdr:cxnSp macro="">
      <xdr:nvCxnSpPr>
        <xdr:cNvPr id="17" name="Conector recto de flecha 16">
          <a:extLst>
            <a:ext uri="{FF2B5EF4-FFF2-40B4-BE49-F238E27FC236}">
              <a16:creationId xmlns:a16="http://schemas.microsoft.com/office/drawing/2014/main" id="{04ACB071-EF73-4EA7-CD3E-312B94946ABD}"/>
            </a:ext>
          </a:extLst>
        </xdr:cNvPr>
        <xdr:cNvCxnSpPr/>
      </xdr:nvCxnSpPr>
      <xdr:spPr>
        <a:xfrm>
          <a:off x="4800600" y="1066800"/>
          <a:ext cx="628650" cy="2476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57150</xdr:colOff>
      <xdr:row>6</xdr:row>
      <xdr:rowOff>161925</xdr:rowOff>
    </xdr:from>
    <xdr:to>
      <xdr:col>10</xdr:col>
      <xdr:colOff>695325</xdr:colOff>
      <xdr:row>7</xdr:row>
      <xdr:rowOff>133350</xdr:rowOff>
    </xdr:to>
    <xdr:cxnSp macro="">
      <xdr:nvCxnSpPr>
        <xdr:cNvPr id="20" name="Conector recto de flecha 19">
          <a:extLst>
            <a:ext uri="{FF2B5EF4-FFF2-40B4-BE49-F238E27FC236}">
              <a16:creationId xmlns:a16="http://schemas.microsoft.com/office/drawing/2014/main" id="{197A5F69-3265-2F56-3925-4EBC6A746EDA}"/>
            </a:ext>
          </a:extLst>
        </xdr:cNvPr>
        <xdr:cNvCxnSpPr/>
      </xdr:nvCxnSpPr>
      <xdr:spPr>
        <a:xfrm flipV="1">
          <a:off x="4781550" y="1362075"/>
          <a:ext cx="638175" cy="209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4</xdr:row>
      <xdr:rowOff>95250</xdr:rowOff>
    </xdr:from>
    <xdr:to>
      <xdr:col>10</xdr:col>
      <xdr:colOff>47625</xdr:colOff>
      <xdr:row>8</xdr:row>
      <xdr:rowOff>95250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BAD201A1-6A79-7914-30D7-A23BF7EEB33A}"/>
            </a:ext>
          </a:extLst>
        </xdr:cNvPr>
        <xdr:cNvSpPr/>
      </xdr:nvSpPr>
      <xdr:spPr>
        <a:xfrm>
          <a:off x="1476375" y="857250"/>
          <a:ext cx="3295650" cy="9144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8</xdr:col>
      <xdr:colOff>714375</xdr:colOff>
      <xdr:row>4</xdr:row>
      <xdr:rowOff>9525</xdr:rowOff>
    </xdr:from>
    <xdr:to>
      <xdr:col>12</xdr:col>
      <xdr:colOff>66675</xdr:colOff>
      <xdr:row>8</xdr:row>
      <xdr:rowOff>161925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FC2B935C-0765-5AEC-F69B-CB4EAC411400}"/>
            </a:ext>
          </a:extLst>
        </xdr:cNvPr>
        <xdr:cNvSpPr/>
      </xdr:nvSpPr>
      <xdr:spPr>
        <a:xfrm>
          <a:off x="3686175" y="771525"/>
          <a:ext cx="3581400" cy="1066800"/>
        </a:xfrm>
        <a:prstGeom prst="rect">
          <a:avLst/>
        </a:prstGeom>
        <a:noFill/>
        <a:ln>
          <a:solidFill>
            <a:schemeClr val="accent6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0F55E6F1-AEC5-48F2-BB72-EBE45ECEAC28}" autoFormatId="16" applyNumberFormats="0" applyBorderFormats="0" applyFontFormats="0" applyPatternFormats="0" applyAlignmentFormats="0" applyWidthHeightFormats="0">
  <queryTableRefresh nextId="5" unboundColumnsRight="2">
    <queryTableFields count="4">
      <queryTableField id="1" name="x" tableColumnId="1"/>
      <queryTableField id="2" name="y" tableColumnId="2"/>
      <queryTableField id="3" dataBound="0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D76C23-FF0B-4818-9E31-EAF731E76DD8}" name="MLP" displayName="MLP" ref="A1:D10" tableType="queryTable" totalsRowShown="0" headerRowDxfId="2">
  <autoFilter ref="A1:D10" xr:uid="{C8D76C23-FF0B-4818-9E31-EAF731E76DD8}"/>
  <tableColumns count="4">
    <tableColumn id="1" xr3:uid="{5542064A-CDEB-4E04-8F27-1EB74B833B85}" uniqueName="1" name="x" queryTableFieldId="1"/>
    <tableColumn id="2" xr3:uid="{049F1C3F-23DA-44A2-AB0C-5B1E1EFBDE4D}" uniqueName="2" name="y" queryTableFieldId="2"/>
    <tableColumn id="3" xr3:uid="{BC979F41-4E93-43DF-BF34-1531DF9166D1}" uniqueName="3" name="y_hat" queryTableFieldId="3" dataDxfId="1">
      <calculatedColumnFormula>LN(1+EXP(MLP[[#This Row],[x]]*$H$2+$K$2))*$M$2+LN(1+EXP(MLP[[#This Row],[x]]*$I$2+$K$3))*$M$3+$O$2</calculatedColumnFormula>
    </tableColumn>
    <tableColumn id="4" xr3:uid="{564FF46B-3495-45D6-B1D8-A6E4EEEFE34C}" uniqueName="4" name="diff^2" queryTableFieldId="4" dataDxfId="0">
      <calculatedColumnFormula>(MLP[[#This Row],[y_hat]]-MLP[[#This Row],[y]])^2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171B-11DC-4FF8-A9CD-73F8344D90F7}">
  <dimension ref="A1:V33"/>
  <sheetViews>
    <sheetView tabSelected="1" workbookViewId="0">
      <selection activeCell="O3" sqref="O3"/>
    </sheetView>
  </sheetViews>
  <sheetFormatPr baseColWidth="10" defaultRowHeight="15" x14ac:dyDescent="0.25"/>
  <cols>
    <col min="1" max="1" width="5.85546875" bestFit="1" customWidth="1"/>
    <col min="2" max="2" width="4.85546875" bestFit="1" customWidth="1"/>
    <col min="3" max="3" width="8" bestFit="1" customWidth="1"/>
    <col min="4" max="4" width="8.5703125" bestFit="1" customWidth="1"/>
    <col min="7" max="7" width="7.42578125" customWidth="1"/>
    <col min="8" max="8" width="15" bestFit="1" customWidth="1"/>
    <col min="10" max="10" width="14.85546875" bestFit="1" customWidth="1"/>
    <col min="12" max="12" width="25.7109375" bestFit="1" customWidth="1"/>
    <col min="16" max="16" width="7.140625" customWidth="1"/>
    <col min="17" max="17" width="4" bestFit="1" customWidth="1"/>
    <col min="18" max="18" width="6.5703125" bestFit="1" customWidth="1"/>
    <col min="19" max="19" width="4" bestFit="1" customWidth="1"/>
    <col min="20" max="20" width="6.5703125" bestFit="1" customWidth="1"/>
    <col min="21" max="21" width="4" bestFit="1" customWidth="1"/>
    <col min="22" max="22" width="6.28515625" bestFit="1" customWidth="1"/>
  </cols>
  <sheetData>
    <row r="1" spans="1:22" s="8" customFormat="1" ht="29.25" customHeight="1" thickBot="1" x14ac:dyDescent="0.3">
      <c r="A1" s="8" t="s">
        <v>0</v>
      </c>
      <c r="B1" s="8" t="s">
        <v>1</v>
      </c>
      <c r="C1" s="8" t="s">
        <v>19</v>
      </c>
      <c r="D1" s="8" t="s">
        <v>20</v>
      </c>
      <c r="H1" s="1" t="s">
        <v>7</v>
      </c>
      <c r="I1" s="1" t="s">
        <v>8</v>
      </c>
      <c r="K1" s="7" t="s">
        <v>11</v>
      </c>
      <c r="M1" s="7" t="s">
        <v>14</v>
      </c>
      <c r="O1" s="7" t="s">
        <v>17</v>
      </c>
      <c r="Q1" s="1" t="s">
        <v>0</v>
      </c>
      <c r="R1" s="26" t="s">
        <v>22</v>
      </c>
      <c r="S1" s="1" t="s">
        <v>0</v>
      </c>
      <c r="T1" s="27" t="s">
        <v>23</v>
      </c>
      <c r="U1" s="1" t="s">
        <v>0</v>
      </c>
      <c r="V1" s="28" t="s">
        <v>2</v>
      </c>
    </row>
    <row r="2" spans="1:22" ht="18.75" thickBot="1" x14ac:dyDescent="0.4">
      <c r="A2">
        <v>0</v>
      </c>
      <c r="B2">
        <v>0</v>
      </c>
      <c r="C2" s="25">
        <f>LN(1+EXP(MLP[[#This Row],[x]]*$H$2+$K$2))*$M$2+LN(1+EXP(MLP[[#This Row],[x]]*$I$2+$K$3))*$M$3+$O$2</f>
        <v>0</v>
      </c>
      <c r="D2" s="25">
        <f>(MLP[[#This Row],[y_hat]]-MLP[[#This Row],[y]])^2</f>
        <v>0</v>
      </c>
      <c r="G2" s="6" t="s">
        <v>10</v>
      </c>
      <c r="H2" s="9">
        <v>0</v>
      </c>
      <c r="I2" s="10">
        <v>0</v>
      </c>
      <c r="J2" s="5" t="s">
        <v>12</v>
      </c>
      <c r="K2" s="11">
        <v>0</v>
      </c>
      <c r="L2" s="5" t="s">
        <v>15</v>
      </c>
      <c r="M2" s="13">
        <v>0</v>
      </c>
      <c r="N2" s="5" t="s">
        <v>18</v>
      </c>
      <c r="O2" s="15">
        <v>0</v>
      </c>
      <c r="Q2">
        <f>G12</f>
        <v>0</v>
      </c>
      <c r="R2" s="29">
        <f>J12</f>
        <v>0.69314718055994529</v>
      </c>
      <c r="S2">
        <f>Q2</f>
        <v>0</v>
      </c>
      <c r="T2" s="30">
        <f>J13</f>
        <v>0.69314718055994529</v>
      </c>
      <c r="U2">
        <v>0</v>
      </c>
      <c r="V2" s="31">
        <f>L12</f>
        <v>0</v>
      </c>
    </row>
    <row r="3" spans="1:22" ht="18.75" thickBot="1" x14ac:dyDescent="0.4">
      <c r="A3">
        <v>0.128</v>
      </c>
      <c r="B3">
        <v>0.19500000000000001</v>
      </c>
      <c r="C3" s="25">
        <f>LN(1+EXP(MLP[[#This Row],[x]]*$H$2+$K$2))*$M$2+LN(1+EXP(MLP[[#This Row],[x]]*$I$2+$K$3))*$M$3+$O$2</f>
        <v>0</v>
      </c>
      <c r="D3" s="25">
        <f>(MLP[[#This Row],[y_hat]]-MLP[[#This Row],[y]])^2</f>
        <v>3.8025000000000003E-2</v>
      </c>
      <c r="J3" s="5" t="s">
        <v>13</v>
      </c>
      <c r="K3" s="12">
        <v>0</v>
      </c>
      <c r="L3" s="5" t="s">
        <v>16</v>
      </c>
      <c r="M3" s="14">
        <v>0</v>
      </c>
      <c r="Q3">
        <f>G14</f>
        <v>0.1</v>
      </c>
      <c r="R3" s="29">
        <f>J14</f>
        <v>0.69314718055994529</v>
      </c>
      <c r="S3">
        <f t="shared" ref="S3:S12" si="0">Q3</f>
        <v>0.1</v>
      </c>
      <c r="T3" s="30">
        <f>J15</f>
        <v>0.69314718055994529</v>
      </c>
      <c r="U3">
        <v>0.1</v>
      </c>
      <c r="V3" s="31">
        <f>L14</f>
        <v>0</v>
      </c>
    </row>
    <row r="4" spans="1:22" x14ac:dyDescent="0.25">
      <c r="A4">
        <v>0.24099999999999999</v>
      </c>
      <c r="B4">
        <v>0.48499999999999999</v>
      </c>
      <c r="C4" s="25">
        <f>LN(1+EXP(MLP[[#This Row],[x]]*$H$2+$K$2))*$M$2+LN(1+EXP(MLP[[#This Row],[x]]*$I$2+$K$3))*$M$3+$O$2</f>
        <v>0</v>
      </c>
      <c r="D4" s="25">
        <f>(MLP[[#This Row],[y_hat]]-MLP[[#This Row],[y]])^2</f>
        <v>0.23522499999999999</v>
      </c>
      <c r="Q4">
        <f>G16</f>
        <v>0.2</v>
      </c>
      <c r="R4" s="29">
        <f>J16</f>
        <v>0.69314718055994529</v>
      </c>
      <c r="S4">
        <f t="shared" si="0"/>
        <v>0.2</v>
      </c>
      <c r="T4" s="30">
        <f>J17</f>
        <v>0.69314718055994529</v>
      </c>
      <c r="U4">
        <v>0.2</v>
      </c>
      <c r="V4" s="31">
        <f>L16</f>
        <v>0</v>
      </c>
    </row>
    <row r="5" spans="1:22" ht="15.75" thickBot="1" x14ac:dyDescent="0.3">
      <c r="A5">
        <v>0.34200000000000003</v>
      </c>
      <c r="B5">
        <v>0.84399999999999997</v>
      </c>
      <c r="C5" s="25">
        <f>LN(1+EXP(MLP[[#This Row],[x]]*$H$2+$K$2))*$M$2+LN(1+EXP(MLP[[#This Row],[x]]*$I$2+$K$3))*$M$3+$O$2</f>
        <v>0</v>
      </c>
      <c r="D5" s="25">
        <f>(MLP[[#This Row],[y_hat]]-MLP[[#This Row],[y]])^2</f>
        <v>0.71233599999999997</v>
      </c>
      <c r="Q5">
        <f>G18</f>
        <v>0.3</v>
      </c>
      <c r="R5" s="29">
        <f>J18</f>
        <v>0.69314718055994529</v>
      </c>
      <c r="S5">
        <f t="shared" si="0"/>
        <v>0.3</v>
      </c>
      <c r="T5" s="30">
        <f>J19</f>
        <v>0.69314718055994529</v>
      </c>
      <c r="U5">
        <v>0.3</v>
      </c>
      <c r="V5" s="31">
        <f>L18</f>
        <v>0</v>
      </c>
    </row>
    <row r="6" spans="1:22" ht="18.75" thickBot="1" x14ac:dyDescent="0.4">
      <c r="A6">
        <v>0.501</v>
      </c>
      <c r="B6">
        <v>1</v>
      </c>
      <c r="C6" s="25">
        <f>LN(1+EXP(MLP[[#This Row],[x]]*$H$2+$K$2))*$M$2+LN(1+EXP(MLP[[#This Row],[x]]*$I$2+$K$3))*$M$3+$O$2</f>
        <v>0</v>
      </c>
      <c r="D6" s="25">
        <f>(MLP[[#This Row],[y_hat]]-MLP[[#This Row],[y]])^2</f>
        <v>1</v>
      </c>
      <c r="H6" s="2" t="s">
        <v>3</v>
      </c>
      <c r="J6" s="2" t="s">
        <v>4</v>
      </c>
      <c r="Q6">
        <f>G20</f>
        <v>0.4</v>
      </c>
      <c r="R6" s="29">
        <f>J20</f>
        <v>0.69314718055994529</v>
      </c>
      <c r="S6">
        <f t="shared" si="0"/>
        <v>0.4</v>
      </c>
      <c r="T6" s="30">
        <f>J21</f>
        <v>0.69314718055994529</v>
      </c>
      <c r="U6">
        <v>0.4</v>
      </c>
      <c r="V6" s="31">
        <f>L20</f>
        <v>0</v>
      </c>
    </row>
    <row r="7" spans="1:22" ht="18.75" thickBot="1" x14ac:dyDescent="0.4">
      <c r="A7">
        <v>0.627</v>
      </c>
      <c r="B7">
        <v>0.91900000000000004</v>
      </c>
      <c r="C7" s="25">
        <f>LN(1+EXP(MLP[[#This Row],[x]]*$H$2+$K$2))*$M$2+LN(1+EXP(MLP[[#This Row],[x]]*$I$2+$K$3))*$M$3+$O$2</f>
        <v>0</v>
      </c>
      <c r="D7" s="25">
        <f>(MLP[[#This Row],[y_hat]]-MLP[[#This Row],[y]])^2</f>
        <v>0.84456100000000012</v>
      </c>
      <c r="G7" t="s">
        <v>0</v>
      </c>
      <c r="L7" s="4" t="s">
        <v>6</v>
      </c>
      <c r="Q7">
        <f>G22</f>
        <v>0.5</v>
      </c>
      <c r="R7" s="29">
        <f>J22</f>
        <v>0.69314718055994529</v>
      </c>
      <c r="S7">
        <f t="shared" si="0"/>
        <v>0.5</v>
      </c>
      <c r="T7" s="30">
        <f>J23</f>
        <v>0.69314718055994529</v>
      </c>
      <c r="U7">
        <v>0.5</v>
      </c>
      <c r="V7" s="31">
        <f>L22</f>
        <v>0</v>
      </c>
    </row>
    <row r="8" spans="1:22" ht="18.75" thickBot="1" x14ac:dyDescent="0.4">
      <c r="A8">
        <v>0.82699999999999996</v>
      </c>
      <c r="B8">
        <v>0.34300000000000003</v>
      </c>
      <c r="C8" s="25">
        <f>LN(1+EXP(MLP[[#This Row],[x]]*$H$2+$K$2))*$M$2+LN(1+EXP(MLP[[#This Row],[x]]*$I$2+$K$3))*$M$3+$O$2</f>
        <v>0</v>
      </c>
      <c r="D8" s="25">
        <f>(MLP[[#This Row],[y_hat]]-MLP[[#This Row],[y]])^2</f>
        <v>0.11764900000000002</v>
      </c>
      <c r="H8" s="3" t="s">
        <v>9</v>
      </c>
      <c r="J8" s="3" t="s">
        <v>5</v>
      </c>
      <c r="Q8">
        <f>G24</f>
        <v>0.6</v>
      </c>
      <c r="R8" s="29">
        <f>J24</f>
        <v>0.69314718055994529</v>
      </c>
      <c r="S8">
        <f t="shared" si="0"/>
        <v>0.6</v>
      </c>
      <c r="T8" s="30">
        <f>J25</f>
        <v>0.69314718055994529</v>
      </c>
      <c r="U8">
        <v>0.6</v>
      </c>
      <c r="V8" s="31">
        <f>L24</f>
        <v>0</v>
      </c>
    </row>
    <row r="9" spans="1:22" x14ac:dyDescent="0.25">
      <c r="A9">
        <v>0.92500000000000004</v>
      </c>
      <c r="B9">
        <v>0.187</v>
      </c>
      <c r="C9" s="25">
        <f>LN(1+EXP(MLP[[#This Row],[x]]*$H$2+$K$2))*$M$2+LN(1+EXP(MLP[[#This Row],[x]]*$I$2+$K$3))*$M$3+$O$2</f>
        <v>0</v>
      </c>
      <c r="D9" s="25">
        <f>(MLP[[#This Row],[y_hat]]-MLP[[#This Row],[y]])^2</f>
        <v>3.4969E-2</v>
      </c>
      <c r="Q9">
        <f>G26</f>
        <v>0.7</v>
      </c>
      <c r="R9" s="29">
        <f>J26</f>
        <v>0.69314718055994529</v>
      </c>
      <c r="S9">
        <f t="shared" si="0"/>
        <v>0.7</v>
      </c>
      <c r="T9" s="30">
        <f>J27</f>
        <v>0.69314718055994529</v>
      </c>
      <c r="U9">
        <v>0.7</v>
      </c>
      <c r="V9" s="31">
        <f>L26</f>
        <v>0</v>
      </c>
    </row>
    <row r="10" spans="1:22" x14ac:dyDescent="0.25">
      <c r="A10">
        <v>1</v>
      </c>
      <c r="B10">
        <v>0</v>
      </c>
      <c r="C10" s="25">
        <f>LN(1+EXP(MLP[[#This Row],[x]]*$H$2+$K$2))*$M$2+LN(1+EXP(MLP[[#This Row],[x]]*$I$2+$K$3))*$M$3+$O$2</f>
        <v>0</v>
      </c>
      <c r="D10" s="25">
        <f>(MLP[[#This Row],[y_hat]]-MLP[[#This Row],[y]])^2</f>
        <v>0</v>
      </c>
      <c r="Q10">
        <f>G28</f>
        <v>0.8</v>
      </c>
      <c r="R10" s="29">
        <f>J28</f>
        <v>0.69314718055994529</v>
      </c>
      <c r="S10">
        <f t="shared" si="0"/>
        <v>0.8</v>
      </c>
      <c r="T10" s="30">
        <f>J29</f>
        <v>0.69314718055994529</v>
      </c>
      <c r="U10">
        <v>0.8</v>
      </c>
      <c r="V10" s="31">
        <f>L28</f>
        <v>0</v>
      </c>
    </row>
    <row r="11" spans="1:22" x14ac:dyDescent="0.25">
      <c r="Q11">
        <f>G30</f>
        <v>0.9</v>
      </c>
      <c r="R11" s="29">
        <f>J30</f>
        <v>0.69314718055994529</v>
      </c>
      <c r="S11">
        <f t="shared" si="0"/>
        <v>0.9</v>
      </c>
      <c r="T11" s="30">
        <f>J31</f>
        <v>0.69314718055994529</v>
      </c>
      <c r="U11">
        <v>0.9</v>
      </c>
      <c r="V11" s="31">
        <f>L30</f>
        <v>0</v>
      </c>
    </row>
    <row r="12" spans="1:22" x14ac:dyDescent="0.25">
      <c r="C12" s="24" t="s">
        <v>21</v>
      </c>
      <c r="D12" s="34">
        <f>AVERAGE(MLP[diff^2])</f>
        <v>0.33141833333333337</v>
      </c>
      <c r="G12" s="32">
        <v>0</v>
      </c>
      <c r="H12" s="16">
        <f>$H$2*G12</f>
        <v>0</v>
      </c>
      <c r="I12" s="17">
        <f>H12+$K$2</f>
        <v>0</v>
      </c>
      <c r="J12" s="22">
        <f t="shared" ref="J12:J33" si="1">LN(1+EXP(I12))</f>
        <v>0.69314718055994529</v>
      </c>
      <c r="K12" s="33">
        <f>J12*$M$2+J13*$M$3</f>
        <v>0</v>
      </c>
      <c r="L12" s="33">
        <f>K12+$O$2</f>
        <v>0</v>
      </c>
      <c r="Q12">
        <f>G32</f>
        <v>1</v>
      </c>
      <c r="R12" s="29">
        <f>J32</f>
        <v>0.69314718055994529</v>
      </c>
      <c r="S12">
        <f t="shared" si="0"/>
        <v>1</v>
      </c>
      <c r="T12" s="30">
        <f>J33</f>
        <v>0.69314718055994529</v>
      </c>
      <c r="U12">
        <v>1</v>
      </c>
      <c r="V12" s="31">
        <f>L32</f>
        <v>0</v>
      </c>
    </row>
    <row r="13" spans="1:22" x14ac:dyDescent="0.25">
      <c r="G13" s="32"/>
      <c r="H13" s="18">
        <f>$I$2*G12</f>
        <v>0</v>
      </c>
      <c r="I13" s="19">
        <f>H13+$K$3</f>
        <v>0</v>
      </c>
      <c r="J13" s="23">
        <f t="shared" si="1"/>
        <v>0.69314718055994529</v>
      </c>
      <c r="K13" s="33"/>
      <c r="L13" s="33"/>
    </row>
    <row r="14" spans="1:22" x14ac:dyDescent="0.25">
      <c r="G14" s="32">
        <v>0.1</v>
      </c>
      <c r="H14" s="16">
        <f>$H$2*G14</f>
        <v>0</v>
      </c>
      <c r="I14" s="17">
        <f>H14+$K$2</f>
        <v>0</v>
      </c>
      <c r="J14" s="22">
        <f t="shared" si="1"/>
        <v>0.69314718055994529</v>
      </c>
      <c r="K14" s="33">
        <f>J14*$M$2+J15*$M$3</f>
        <v>0</v>
      </c>
      <c r="L14" s="33">
        <f>K14+$O$2</f>
        <v>0</v>
      </c>
    </row>
    <row r="15" spans="1:22" x14ac:dyDescent="0.25">
      <c r="G15" s="32"/>
      <c r="H15" s="18">
        <f>$I$2*G14</f>
        <v>0</v>
      </c>
      <c r="I15" s="19">
        <f>H15+$K$3</f>
        <v>0</v>
      </c>
      <c r="J15" s="23">
        <f t="shared" si="1"/>
        <v>0.69314718055994529</v>
      </c>
      <c r="K15" s="33"/>
      <c r="L15" s="33"/>
    </row>
    <row r="16" spans="1:22" x14ac:dyDescent="0.25">
      <c r="G16" s="32">
        <v>0.2</v>
      </c>
      <c r="H16" s="16">
        <f>$H$2*G16</f>
        <v>0</v>
      </c>
      <c r="I16" s="17">
        <f>H16+$K$2</f>
        <v>0</v>
      </c>
      <c r="J16" s="22">
        <f t="shared" si="1"/>
        <v>0.69314718055994529</v>
      </c>
      <c r="K16" s="33">
        <f>J16*$M$2+J17*$M$3</f>
        <v>0</v>
      </c>
      <c r="L16" s="33">
        <f>K16+$O$2</f>
        <v>0</v>
      </c>
    </row>
    <row r="17" spans="7:12" x14ac:dyDescent="0.25">
      <c r="G17" s="32"/>
      <c r="H17" s="18">
        <f>$I$2*G16</f>
        <v>0</v>
      </c>
      <c r="I17" s="19">
        <f>H17+$K$3</f>
        <v>0</v>
      </c>
      <c r="J17" s="23">
        <f t="shared" si="1"/>
        <v>0.69314718055994529</v>
      </c>
      <c r="K17" s="33"/>
      <c r="L17" s="33"/>
    </row>
    <row r="18" spans="7:12" x14ac:dyDescent="0.25">
      <c r="G18" s="32">
        <v>0.3</v>
      </c>
      <c r="H18" s="16">
        <f>$H$2*G18</f>
        <v>0</v>
      </c>
      <c r="I18" s="17">
        <f>H18+$K$2</f>
        <v>0</v>
      </c>
      <c r="J18" s="22">
        <f t="shared" si="1"/>
        <v>0.69314718055994529</v>
      </c>
      <c r="K18" s="33">
        <f>J18*$M$2+J19*$M$3</f>
        <v>0</v>
      </c>
      <c r="L18" s="33">
        <f>K18+$O$2</f>
        <v>0</v>
      </c>
    </row>
    <row r="19" spans="7:12" x14ac:dyDescent="0.25">
      <c r="G19" s="32"/>
      <c r="H19" s="18">
        <f>$I$2*G18</f>
        <v>0</v>
      </c>
      <c r="I19" s="19">
        <f>H19+$K$3</f>
        <v>0</v>
      </c>
      <c r="J19" s="23">
        <f t="shared" si="1"/>
        <v>0.69314718055994529</v>
      </c>
      <c r="K19" s="33"/>
      <c r="L19" s="33"/>
    </row>
    <row r="20" spans="7:12" x14ac:dyDescent="0.25">
      <c r="G20" s="32">
        <v>0.4</v>
      </c>
      <c r="H20" s="16">
        <f>$H$2*G20</f>
        <v>0</v>
      </c>
      <c r="I20" s="17">
        <f>H20+$K$2</f>
        <v>0</v>
      </c>
      <c r="J20" s="22">
        <f t="shared" si="1"/>
        <v>0.69314718055994529</v>
      </c>
      <c r="K20" s="33">
        <f>J20*$M$2+J21*$M$3</f>
        <v>0</v>
      </c>
      <c r="L20" s="33">
        <f>K20+$O$2</f>
        <v>0</v>
      </c>
    </row>
    <row r="21" spans="7:12" x14ac:dyDescent="0.25">
      <c r="G21" s="32"/>
      <c r="H21" s="18">
        <f>$I$2*G20</f>
        <v>0</v>
      </c>
      <c r="I21" s="19">
        <f>H21+$K$3</f>
        <v>0</v>
      </c>
      <c r="J21" s="23">
        <f t="shared" si="1"/>
        <v>0.69314718055994529</v>
      </c>
      <c r="K21" s="33"/>
      <c r="L21" s="33"/>
    </row>
    <row r="22" spans="7:12" x14ac:dyDescent="0.25">
      <c r="G22" s="32">
        <v>0.5</v>
      </c>
      <c r="H22" s="16">
        <f>$H$2*G22</f>
        <v>0</v>
      </c>
      <c r="I22" s="17">
        <f>H22+$K$2</f>
        <v>0</v>
      </c>
      <c r="J22" s="22">
        <f t="shared" si="1"/>
        <v>0.69314718055994529</v>
      </c>
      <c r="K22" s="33">
        <f>J22*$M$2+J23*$M$3</f>
        <v>0</v>
      </c>
      <c r="L22" s="33">
        <f>K22+$O$2</f>
        <v>0</v>
      </c>
    </row>
    <row r="23" spans="7:12" x14ac:dyDescent="0.25">
      <c r="G23" s="32"/>
      <c r="H23" s="18">
        <f>$I$2*G22</f>
        <v>0</v>
      </c>
      <c r="I23" s="19">
        <f>H23+$K$3</f>
        <v>0</v>
      </c>
      <c r="J23" s="23">
        <f t="shared" si="1"/>
        <v>0.69314718055994529</v>
      </c>
      <c r="K23" s="33"/>
      <c r="L23" s="33"/>
    </row>
    <row r="24" spans="7:12" x14ac:dyDescent="0.25">
      <c r="G24" s="32">
        <v>0.6</v>
      </c>
      <c r="H24" s="16">
        <f>$H$2*G24</f>
        <v>0</v>
      </c>
      <c r="I24" s="17">
        <f>H24+$K$2</f>
        <v>0</v>
      </c>
      <c r="J24" s="22">
        <f t="shared" si="1"/>
        <v>0.69314718055994529</v>
      </c>
      <c r="K24" s="33">
        <f>J24*$M$2+J25*$M$3</f>
        <v>0</v>
      </c>
      <c r="L24" s="33">
        <f>K24+$O$2</f>
        <v>0</v>
      </c>
    </row>
    <row r="25" spans="7:12" x14ac:dyDescent="0.25">
      <c r="G25" s="32"/>
      <c r="H25" s="18">
        <f>$I$2*G24</f>
        <v>0</v>
      </c>
      <c r="I25" s="19">
        <f>H25+$K$3</f>
        <v>0</v>
      </c>
      <c r="J25" s="23">
        <f t="shared" si="1"/>
        <v>0.69314718055994529</v>
      </c>
      <c r="K25" s="33"/>
      <c r="L25" s="33"/>
    </row>
    <row r="26" spans="7:12" x14ac:dyDescent="0.25">
      <c r="G26" s="32">
        <v>0.7</v>
      </c>
      <c r="H26" s="16">
        <f>$H$2*G26</f>
        <v>0</v>
      </c>
      <c r="I26" s="17">
        <f>H26+$K$2</f>
        <v>0</v>
      </c>
      <c r="J26" s="22">
        <f t="shared" si="1"/>
        <v>0.69314718055994529</v>
      </c>
      <c r="K26" s="33">
        <f>J26*$M$2+J27*$M$3</f>
        <v>0</v>
      </c>
      <c r="L26" s="33">
        <f>K26+$O$2</f>
        <v>0</v>
      </c>
    </row>
    <row r="27" spans="7:12" x14ac:dyDescent="0.25">
      <c r="G27" s="32"/>
      <c r="H27" s="18">
        <f>$I$2*G26</f>
        <v>0</v>
      </c>
      <c r="I27" s="19">
        <f>H27+$K$3</f>
        <v>0</v>
      </c>
      <c r="J27" s="23">
        <f t="shared" si="1"/>
        <v>0.69314718055994529</v>
      </c>
      <c r="K27" s="33"/>
      <c r="L27" s="33"/>
    </row>
    <row r="28" spans="7:12" x14ac:dyDescent="0.25">
      <c r="G28" s="32">
        <v>0.8</v>
      </c>
      <c r="H28" s="16">
        <f>$H$2*G28</f>
        <v>0</v>
      </c>
      <c r="I28" s="17">
        <f>H28+$K$2</f>
        <v>0</v>
      </c>
      <c r="J28" s="22">
        <f t="shared" si="1"/>
        <v>0.69314718055994529</v>
      </c>
      <c r="K28" s="33">
        <f>J28*$M$2+J29*$M$3</f>
        <v>0</v>
      </c>
      <c r="L28" s="33">
        <f>K28+$O$2</f>
        <v>0</v>
      </c>
    </row>
    <row r="29" spans="7:12" x14ac:dyDescent="0.25">
      <c r="G29" s="32"/>
      <c r="H29" s="18">
        <f>$I$2*G28</f>
        <v>0</v>
      </c>
      <c r="I29" s="19">
        <f>H29+$K$3</f>
        <v>0</v>
      </c>
      <c r="J29" s="23">
        <f t="shared" si="1"/>
        <v>0.69314718055994529</v>
      </c>
      <c r="K29" s="33"/>
      <c r="L29" s="33"/>
    </row>
    <row r="30" spans="7:12" x14ac:dyDescent="0.25">
      <c r="G30" s="32">
        <v>0.9</v>
      </c>
      <c r="H30" s="16">
        <f>$H$2*G30</f>
        <v>0</v>
      </c>
      <c r="I30" s="17">
        <f>H30+$K$2</f>
        <v>0</v>
      </c>
      <c r="J30" s="22">
        <f t="shared" si="1"/>
        <v>0.69314718055994529</v>
      </c>
      <c r="K30" s="33">
        <f>J30*$M$2+J31*$M$3</f>
        <v>0</v>
      </c>
      <c r="L30" s="33">
        <f>K30+$O$2</f>
        <v>0</v>
      </c>
    </row>
    <row r="31" spans="7:12" x14ac:dyDescent="0.25">
      <c r="G31" s="32"/>
      <c r="H31" s="18">
        <f>$I$2*G30</f>
        <v>0</v>
      </c>
      <c r="I31" s="19">
        <f>H31+$K$3</f>
        <v>0</v>
      </c>
      <c r="J31" s="23">
        <f t="shared" si="1"/>
        <v>0.69314718055994529</v>
      </c>
      <c r="K31" s="33"/>
      <c r="L31" s="33"/>
    </row>
    <row r="32" spans="7:12" x14ac:dyDescent="0.25">
      <c r="G32" s="32">
        <v>1</v>
      </c>
      <c r="H32" s="20">
        <f>$H$2*G32</f>
        <v>0</v>
      </c>
      <c r="I32" s="21">
        <f>H32+$K$2</f>
        <v>0</v>
      </c>
      <c r="J32" s="22">
        <f t="shared" si="1"/>
        <v>0.69314718055994529</v>
      </c>
      <c r="K32" s="33">
        <f>J32*$M$2+J33*$M$3</f>
        <v>0</v>
      </c>
      <c r="L32" s="33">
        <f>K32+$O$2</f>
        <v>0</v>
      </c>
    </row>
    <row r="33" spans="7:12" x14ac:dyDescent="0.25">
      <c r="G33" s="32"/>
      <c r="H33" s="18">
        <f>$I$2*G32</f>
        <v>0</v>
      </c>
      <c r="I33" s="19">
        <f>H33+$K$3</f>
        <v>0</v>
      </c>
      <c r="J33" s="23">
        <f t="shared" si="1"/>
        <v>0.69314718055994529</v>
      </c>
      <c r="K33" s="33"/>
      <c r="L33" s="33"/>
    </row>
  </sheetData>
  <mergeCells count="33">
    <mergeCell ref="K20:K21"/>
    <mergeCell ref="K22:K23"/>
    <mergeCell ref="K24:K25"/>
    <mergeCell ref="K14:K15"/>
    <mergeCell ref="K16:K17"/>
    <mergeCell ref="K12:K13"/>
    <mergeCell ref="L12:L13"/>
    <mergeCell ref="K18:K19"/>
    <mergeCell ref="G24:G25"/>
    <mergeCell ref="G26:G27"/>
    <mergeCell ref="G28:G29"/>
    <mergeCell ref="G30:G31"/>
    <mergeCell ref="G12:G13"/>
    <mergeCell ref="G14:G15"/>
    <mergeCell ref="G16:G17"/>
    <mergeCell ref="G18:G19"/>
    <mergeCell ref="G20:G21"/>
    <mergeCell ref="G32:G33"/>
    <mergeCell ref="L14:L15"/>
    <mergeCell ref="L16:L17"/>
    <mergeCell ref="L18:L19"/>
    <mergeCell ref="L20:L21"/>
    <mergeCell ref="L22:L23"/>
    <mergeCell ref="L24:L25"/>
    <mergeCell ref="L26:L27"/>
    <mergeCell ref="L28:L29"/>
    <mergeCell ref="L30:L31"/>
    <mergeCell ref="L32:L33"/>
    <mergeCell ref="K26:K27"/>
    <mergeCell ref="K28:K29"/>
    <mergeCell ref="K30:K31"/>
    <mergeCell ref="K32:K33"/>
    <mergeCell ref="G22:G23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89C36F-0055-45A2-8FC2-9AC346B832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Matias Carrasco</dc:creator>
  <cp:lastModifiedBy>Matias Carrasco Piaggio</cp:lastModifiedBy>
  <dcterms:created xsi:type="dcterms:W3CDTF">2025-08-26T12:45:20Z</dcterms:created>
  <dcterms:modified xsi:type="dcterms:W3CDTF">2025-08-28T18:40:16Z</dcterms:modified>
</cp:coreProperties>
</file>